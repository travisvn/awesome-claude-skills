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terial Requirement" sheetId="1" state="visible" r:id="rId3"/>
  </sheets>
  <definedNames>
    <definedName function="false" hidden="false" localSheetId="0" name="_xlnm.Print_Titles" vbProcedure="false">'Material Requirement'!$10:$10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<sst xmlns="http://schemas.openxmlformats.org/spreadsheetml/2006/main" count="58" uniqueCount="55">
  <si>
    <t xml:space="preserve">MATERIAL REQUIREMENT — AGL INSTALLATION</t>
  </si>
  <si>
    <t xml:space="preserve">Rectification of TWY E between E4 &amp; E6 (ZIA) — AGL works at three milling locations</t>
  </si>
  <si>
    <t xml:space="preserve">Document No.</t>
  </si>
  <si>
    <t xml:space="preserve">AUH-SK-AGL-TWYE-001 — Rev P08 (final scope of work)</t>
  </si>
  <si>
    <t xml:space="preserve">Scope basis</t>
  </si>
  <si>
    <t xml:space="preserve">Rev P08 final scope of work issued 30.07.2026 — 19 No. affected fittings; 13 No. new side-entry shallow bases; approx. 420 m of saw cut</t>
  </si>
  <si>
    <t xml:space="preserve">Prepared by</t>
  </si>
  <si>
    <t xml:space="preserve">Mohammed Faheem — AGL Team Leader, ADB SAFEGATE</t>
  </si>
  <si>
    <t xml:space="preserve">Approved by</t>
  </si>
  <si>
    <t xml:space="preserve">Ragesh Menon — AGL Manager, ADB SAFEGATE</t>
  </si>
  <si>
    <t xml:space="preserve">Date</t>
  </si>
  <si>
    <t xml:space="preserve">31.07.2026</t>
  </si>
  <si>
    <t xml:space="preserve">Sl No</t>
  </si>
  <si>
    <t xml:space="preserve">Material</t>
  </si>
  <si>
    <t xml:space="preserve">Unit</t>
  </si>
  <si>
    <t xml:space="preserve">Required Qty</t>
  </si>
  <si>
    <t xml:space="preserve">Available with ADB SAFEGATE</t>
  </si>
  <si>
    <t xml:space="preserve">Remaining Qty to procure</t>
  </si>
  <si>
    <t xml:space="preserve">Basis / check against the Rev P08 plan</t>
  </si>
  <si>
    <t xml:space="preserve">Nitoseal</t>
  </si>
  <si>
    <t xml:space="preserve">ltr</t>
  </si>
  <si>
    <t xml:space="preserve">Saw cut sealant. Against approx. 420 m of cut this is approx. 0.05 l/m — cannot be firmed until the saw cut detail fixes cut width and depth (hold point H5).</t>
  </si>
  <si>
    <t xml:space="preserve">Nito mortar</t>
  </si>
  <si>
    <t xml:space="preserve">Grout / bedding to the new bases — 13 No. at approx. 1.15 l each. Depends on the core diameter, which is pending the same detail.</t>
  </si>
  <si>
    <t xml:space="preserve">Backer rod</t>
  </si>
  <si>
    <t xml:space="preserve">Roll</t>
  </si>
  <si>
    <t xml:space="preserve">Approx. 400 m at 50 m/roll against approx. 420 m of saw cut — confirm the roll length; a 9th roll may be needed.</t>
  </si>
  <si>
    <t xml:space="preserve">Shallow base 8 inch</t>
  </si>
  <si>
    <t xml:space="preserve">No</t>
  </si>
  <si>
    <t xml:space="preserve">Matches the plan: 11 No. 8" side-entry shallow bases at LOC-01. The 3 No. cable-only fittings at LOC-01 keep their existing base and need none.</t>
  </si>
  <si>
    <t xml:space="preserve">Earth cable</t>
  </si>
  <si>
    <t xml:space="preserve">Mtr</t>
  </si>
  <si>
    <t xml:space="preserve">As advised. No earthing quantity is derived in the Rev P08 deck.</t>
  </si>
  <si>
    <t xml:space="preserve">Secondary connectors (plug &amp; receptacle)</t>
  </si>
  <si>
    <t xml:space="preserve">Pair</t>
  </si>
  <si>
    <t xml:space="preserve">REVISED — 2 pair per fitting x 19 No. = 38 No. The 33 No. advised was against 16 No. fittings, before the 3 No. cable-only fittings at LOC-01 came into scope.</t>
  </si>
  <si>
    <t xml:space="preserve">Secondary cable (2c x 4 sq.mm)</t>
  </si>
  <si>
    <t xml:space="preserve">mtr</t>
  </si>
  <si>
    <t xml:space="preserve">Saw cut route length is approx. 420 m over 19 No. runs. 1500 m covers the full manhole-to-light runs (no joints) plus terminations and tails — confirm against the run-by-run lengths now that 19 No. runs are in scope.</t>
  </si>
  <si>
    <t xml:space="preserve">Masking tape</t>
  </si>
  <si>
    <t xml:space="preserve">Box</t>
  </si>
  <si>
    <t xml:space="preserve">As advised. No basis in the Rev P08 deck.</t>
  </si>
  <si>
    <t xml:space="preserve">Shallow base 12 inch</t>
  </si>
  <si>
    <t xml:space="preserve">ADDED — the plan needs 13 No. new bases: 11 No. 8" plus 2 No. 12" (LOC-02 TCCECH-03/008 and LOC-03 TCCECH-03/003). Not in the list as issued.</t>
  </si>
  <si>
    <t xml:space="preserve">Dummy plate (8" / 12")</t>
  </si>
  <si>
    <t xml:space="preserve">ADDED — 13 No. open bases plus the 3 No. LOC-01 fittings kept under a plate during milling (Phase 1, R3). Confirm whether the plates already installed are recovered for reuse, and whether the 3 No. at LOC-03 also need one.</t>
  </si>
  <si>
    <t xml:space="preserve">Lines to procure</t>
  </si>
  <si>
    <t xml:space="preserve">Count of lines with a shortfall against the required quantity.</t>
  </si>
  <si>
    <t xml:space="preserve">NOTES</t>
  </si>
  <si>
    <t xml:space="preserve">1.  Rows 1–8 are the quantities as advised. Rows 9 and 10 are added, and the connector quantity is revised, so the list covers what the Rev P08 plan requires. Availability of the added lines is to be filled in (yellow cells).</t>
  </si>
  <si>
    <t xml:space="preserve">2.  The plan needs 13 No. new side-entry shallow bases in total — 11 No. 8" at LOC-01, 1 No. 12" at LOC-02 (TCCECH-03/008) and 1 No. 12" at LOC-03 (TCCECH-03/003).</t>
  </si>
  <si>
    <t xml:space="preserve">3.  Sealant, mortar and backer rod quantities depend on the saw cut width and depth and on the core diameter. Both are set by the saw cut &amp; side-entry shallow base detail drawing, which had not been issued at Rev P08 (hold point H5). Re-check these three lines when it is issued.</t>
  </si>
  <si>
    <t xml:space="preserve">4.  Secondary cable is ordered against the full manhole-to-light runs (19 No.), not the saw cut length — the cut measures approx. 420 m across the three locations (approx. 300 m LOC-01, 24 m LOC-02, 95 m LOC-03).</t>
  </si>
  <si>
    <t xml:space="preserve">5.  Saw cut is an interim arrangement agreed between the AGL team, the civil team and ADA AGL. Permanent duct provision follows under the South Rehabilitation works, and is not covered by this requirement.</t>
  </si>
  <si>
    <t xml:space="preserve">6.  Remaining Qty is a formula (Required − Available). Edit only the Required and Available columns.</t>
  </si>
</sst>
</file>

<file path=xl/styles.xml><?xml version="1.0" encoding="utf-8"?>
<styleSheet xmlns="http://schemas.openxmlformats.org/spreadsheetml/2006/main">
  <numFmts count="3">
    <numFmt numFmtId="164" formatCode="General"/>
    <numFmt numFmtId="165" formatCode="#,##0"/>
    <numFmt numFmtId="166"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1E2761"/>
      <name val="Arial"/>
      <family val="0"/>
      <charset val="1"/>
    </font>
    <font>
      <sz val="10"/>
      <color rgb="FF5F6368"/>
      <name val="Arial"/>
      <family val="0"/>
      <charset val="1"/>
    </font>
    <font>
      <b val="true"/>
      <sz val="10"/>
      <color rgb="FFAD841F"/>
      <name val="Arial"/>
      <family val="0"/>
      <charset val="1"/>
    </font>
    <font>
      <sz val="10"/>
      <color rgb="FF1F2937"/>
      <name val="Arial"/>
      <family val="0"/>
      <charset val="1"/>
    </font>
    <font>
      <b val="true"/>
      <sz val="10"/>
      <color rgb="FFFFFFFF"/>
      <name val="Arial"/>
      <family val="0"/>
      <charset val="1"/>
    </font>
    <font>
      <b val="true"/>
      <sz val="10"/>
      <color rgb="FF1F2937"/>
      <name val="Arial"/>
      <family val="0"/>
      <charset val="1"/>
    </font>
    <font>
      <sz val="9"/>
      <color rgb="FF5F6368"/>
      <name val="Arial"/>
      <family val="0"/>
      <charset val="1"/>
    </font>
    <font>
      <b val="true"/>
      <sz val="11"/>
      <color rgb="FF1E2761"/>
      <name val="Arial"/>
      <family val="0"/>
      <charset val="1"/>
    </font>
  </fonts>
  <fills count="6">
    <fill>
      <patternFill patternType="none"/>
    </fill>
    <fill>
      <patternFill patternType="gray125"/>
    </fill>
    <fill>
      <patternFill patternType="solid">
        <fgColor rgb="FF1E2761"/>
        <bgColor rgb="FF1F2937"/>
      </patternFill>
    </fill>
    <fill>
      <patternFill patternType="solid">
        <fgColor rgb="FFF4F6F8"/>
        <bgColor rgb="FFFFFFFF"/>
      </patternFill>
    </fill>
    <fill>
      <patternFill patternType="solid">
        <fgColor rgb="FFFFF4D6"/>
        <bgColor rgb="FFF4F6F8"/>
      </patternFill>
    </fill>
    <fill>
      <patternFill patternType="solid">
        <fgColor rgb="FFFFFF00"/>
        <bgColor rgb="FFFFFF00"/>
      </patternFill>
    </fill>
  </fills>
  <borders count="2">
    <border diagonalUp="false" diagonalDown="false">
      <left/>
      <right/>
      <top/>
      <bottom/>
      <diagonal/>
    </border>
    <border diagonalUp="false" diagonalDown="false">
      <left style="thin">
        <color rgb="FFC8CDD3"/>
      </left>
      <right style="thin">
        <color rgb="FFC8CDD3"/>
      </right>
      <top style="thin">
        <color rgb="FFC8CDD3"/>
      </top>
      <bottom style="thin">
        <color rgb="FFC8CDD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8" fillId="2"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5" fontId="9"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5" fontId="7" fillId="3" borderId="1" xfId="0" applyFont="true" applyBorder="true" applyAlignment="true" applyProtection="false">
      <alignment horizontal="center" vertical="center" textRotation="0" wrapText="false" indent="0" shrinkToFit="false"/>
      <protection locked="true" hidden="false"/>
    </xf>
    <xf numFmtId="165" fontId="9" fillId="3" borderId="1" xfId="0" applyFont="true" applyBorder="true" applyAlignment="true" applyProtection="false">
      <alignment horizontal="center" vertical="center" textRotation="0" wrapText="false" indent="0" shrinkToFit="false"/>
      <protection locked="true" hidden="false"/>
    </xf>
    <xf numFmtId="164" fontId="10" fillId="3"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5" fontId="7" fillId="4" borderId="1" xfId="0" applyFont="true" applyBorder="true" applyAlignment="true" applyProtection="false">
      <alignment horizontal="center" vertical="center" textRotation="0" wrapText="false" indent="0" shrinkToFit="false"/>
      <protection locked="true" hidden="false"/>
    </xf>
    <xf numFmtId="165" fontId="7" fillId="5" borderId="1" xfId="0" applyFont="true" applyBorder="true" applyAlignment="true" applyProtection="false">
      <alignment horizontal="center" vertical="center" textRotation="0" wrapText="false" indent="0" shrinkToFit="false"/>
      <protection locked="true" hidden="false"/>
    </xf>
    <xf numFmtId="165" fontId="9" fillId="4"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false" indent="0" shrinkToFit="false"/>
      <protection locked="true" hidden="false"/>
    </xf>
    <xf numFmtId="164" fontId="9" fillId="3" borderId="1" xfId="0" applyFont="true" applyBorder="true" applyAlignment="true" applyProtection="false">
      <alignment horizontal="left" vertical="center" textRotation="0" wrapText="false" indent="0" shrinkToFit="false"/>
      <protection locked="true" hidden="false"/>
    </xf>
    <xf numFmtId="166" fontId="9" fillId="3"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0"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AD841F"/>
      <rgbColor rgb="FF800080"/>
      <rgbColor rgb="FF008080"/>
      <rgbColor rgb="FFC8CDD3"/>
      <rgbColor rgb="FF808080"/>
      <rgbColor rgb="FF9999FF"/>
      <rgbColor rgb="FF993366"/>
      <rgbColor rgb="FFFFF4D6"/>
      <rgbColor rgb="FFF4F6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F6368"/>
      <rgbColor rgb="FF969696"/>
      <rgbColor rgb="FF1E2761"/>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3" min="3" style="0" width="8"/>
    <col collapsed="false" customWidth="true" hidden="false" outlineLevel="0" max="4" min="4" style="0" width="13"/>
    <col collapsed="false" customWidth="true" hidden="false" outlineLevel="0" max="5" min="5" style="0" width="16"/>
    <col collapsed="false" customWidth="true" hidden="false" outlineLevel="0" max="6" min="6" style="0" width="15"/>
    <col collapsed="false" customWidth="true" hidden="false" outlineLevel="0" max="7" min="7" style="0" width="62"/>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s">
        <v>3</v>
      </c>
    </row>
    <row r="5" customFormat="false" ht="15" hidden="false" customHeight="false" outlineLevel="0" collapsed="false">
      <c r="A5" s="3" t="s">
        <v>4</v>
      </c>
      <c r="B5" s="4" t="s">
        <v>5</v>
      </c>
    </row>
    <row r="6" customFormat="false" ht="15" hidden="false" customHeight="false" outlineLevel="0" collapsed="false">
      <c r="A6" s="3" t="s">
        <v>6</v>
      </c>
      <c r="B6" s="4" t="s">
        <v>7</v>
      </c>
    </row>
    <row r="7" customFormat="false" ht="15" hidden="false" customHeight="false" outlineLevel="0" collapsed="false">
      <c r="A7" s="3" t="s">
        <v>8</v>
      </c>
      <c r="B7" s="4" t="s">
        <v>9</v>
      </c>
    </row>
    <row r="8" customFormat="false" ht="15" hidden="false" customHeight="false" outlineLevel="0" collapsed="false">
      <c r="A8" s="3" t="s">
        <v>10</v>
      </c>
      <c r="B8" s="4" t="s">
        <v>11</v>
      </c>
    </row>
    <row r="10" customFormat="false" ht="42" hidden="false" customHeight="true" outlineLevel="0" collapsed="false">
      <c r="A10" s="5" t="s">
        <v>12</v>
      </c>
      <c r="B10" s="5" t="s">
        <v>13</v>
      </c>
      <c r="C10" s="5" t="s">
        <v>14</v>
      </c>
      <c r="D10" s="5" t="s">
        <v>15</v>
      </c>
      <c r="E10" s="5" t="s">
        <v>16</v>
      </c>
      <c r="F10" s="5" t="s">
        <v>17</v>
      </c>
      <c r="G10" s="6" t="s">
        <v>18</v>
      </c>
    </row>
    <row r="11" customFormat="false" ht="33.75" hidden="false" customHeight="true" outlineLevel="0" collapsed="false">
      <c r="A11" s="7" t="n">
        <v>1</v>
      </c>
      <c r="B11" s="8" t="s">
        <v>19</v>
      </c>
      <c r="C11" s="7" t="s">
        <v>20</v>
      </c>
      <c r="D11" s="9" t="n">
        <v>20</v>
      </c>
      <c r="E11" s="9" t="n">
        <v>20</v>
      </c>
      <c r="F11" s="10" t="n">
        <f aca="false">IF(E11="","",D11-E11)</f>
        <v>0</v>
      </c>
      <c r="G11" s="11" t="s">
        <v>21</v>
      </c>
    </row>
    <row r="12" customFormat="false" ht="33.75" hidden="false" customHeight="true" outlineLevel="0" collapsed="false">
      <c r="A12" s="12" t="n">
        <v>2</v>
      </c>
      <c r="B12" s="13" t="s">
        <v>22</v>
      </c>
      <c r="C12" s="12" t="s">
        <v>20</v>
      </c>
      <c r="D12" s="14" t="n">
        <v>15</v>
      </c>
      <c r="E12" s="14" t="n">
        <v>15</v>
      </c>
      <c r="F12" s="15" t="n">
        <f aca="false">IF(E12="","",D12-E12)</f>
        <v>0</v>
      </c>
      <c r="G12" s="16" t="s">
        <v>23</v>
      </c>
    </row>
    <row r="13" customFormat="false" ht="33.75" hidden="false" customHeight="true" outlineLevel="0" collapsed="false">
      <c r="A13" s="7" t="n">
        <v>3</v>
      </c>
      <c r="B13" s="8" t="s">
        <v>24</v>
      </c>
      <c r="C13" s="7" t="s">
        <v>25</v>
      </c>
      <c r="D13" s="9" t="n">
        <v>8</v>
      </c>
      <c r="E13" s="9" t="n">
        <v>8</v>
      </c>
      <c r="F13" s="10" t="n">
        <f aca="false">IF(E13="","",D13-E13)</f>
        <v>0</v>
      </c>
      <c r="G13" s="11" t="s">
        <v>26</v>
      </c>
    </row>
    <row r="14" customFormat="false" ht="33.75" hidden="false" customHeight="true" outlineLevel="0" collapsed="false">
      <c r="A14" s="12" t="n">
        <v>4</v>
      </c>
      <c r="B14" s="13" t="s">
        <v>27</v>
      </c>
      <c r="C14" s="12" t="s">
        <v>28</v>
      </c>
      <c r="D14" s="14" t="n">
        <v>11</v>
      </c>
      <c r="E14" s="14" t="n">
        <v>4</v>
      </c>
      <c r="F14" s="15" t="n">
        <f aca="false">IF(E14="","",D14-E14)</f>
        <v>7</v>
      </c>
      <c r="G14" s="16" t="s">
        <v>29</v>
      </c>
    </row>
    <row r="15" customFormat="false" ht="33.75" hidden="false" customHeight="true" outlineLevel="0" collapsed="false">
      <c r="A15" s="7" t="n">
        <v>5</v>
      </c>
      <c r="B15" s="8" t="s">
        <v>30</v>
      </c>
      <c r="C15" s="7" t="s">
        <v>31</v>
      </c>
      <c r="D15" s="9" t="n">
        <v>900</v>
      </c>
      <c r="E15" s="9" t="n">
        <v>900</v>
      </c>
      <c r="F15" s="10" t="n">
        <f aca="false">IF(E15="","",D15-E15)</f>
        <v>0</v>
      </c>
      <c r="G15" s="11" t="s">
        <v>32</v>
      </c>
    </row>
    <row r="16" customFormat="false" ht="33.75" hidden="false" customHeight="true" outlineLevel="0" collapsed="false">
      <c r="A16" s="12" t="n">
        <v>6</v>
      </c>
      <c r="B16" s="13" t="s">
        <v>33</v>
      </c>
      <c r="C16" s="12" t="s">
        <v>34</v>
      </c>
      <c r="D16" s="14" t="n">
        <v>38</v>
      </c>
      <c r="E16" s="14" t="n">
        <v>33</v>
      </c>
      <c r="F16" s="15" t="n">
        <f aca="false">IF(E16="","",D16-E16)</f>
        <v>5</v>
      </c>
      <c r="G16" s="16" t="s">
        <v>35</v>
      </c>
    </row>
    <row r="17" customFormat="false" ht="33.75" hidden="false" customHeight="true" outlineLevel="0" collapsed="false">
      <c r="A17" s="7" t="n">
        <v>7</v>
      </c>
      <c r="B17" s="8" t="s">
        <v>36</v>
      </c>
      <c r="C17" s="7" t="s">
        <v>37</v>
      </c>
      <c r="D17" s="9" t="n">
        <v>1500</v>
      </c>
      <c r="E17" s="9" t="n">
        <v>600</v>
      </c>
      <c r="F17" s="10" t="n">
        <f aca="false">IF(E17="","",D17-E17)</f>
        <v>900</v>
      </c>
      <c r="G17" s="11" t="s">
        <v>38</v>
      </c>
    </row>
    <row r="18" customFormat="false" ht="33.75" hidden="false" customHeight="true" outlineLevel="0" collapsed="false">
      <c r="A18" s="12" t="n">
        <v>8</v>
      </c>
      <c r="B18" s="13" t="s">
        <v>39</v>
      </c>
      <c r="C18" s="12" t="s">
        <v>40</v>
      </c>
      <c r="D18" s="14" t="n">
        <v>50</v>
      </c>
      <c r="E18" s="14" t="n">
        <v>50</v>
      </c>
      <c r="F18" s="15" t="n">
        <f aca="false">IF(E18="","",D18-E18)</f>
        <v>0</v>
      </c>
      <c r="G18" s="16" t="s">
        <v>41</v>
      </c>
    </row>
    <row r="19" customFormat="false" ht="33.75" hidden="false" customHeight="true" outlineLevel="0" collapsed="false">
      <c r="A19" s="17" t="n">
        <v>9</v>
      </c>
      <c r="B19" s="18" t="s">
        <v>42</v>
      </c>
      <c r="C19" s="17" t="s">
        <v>28</v>
      </c>
      <c r="D19" s="19" t="n">
        <v>2</v>
      </c>
      <c r="E19" s="20"/>
      <c r="F19" s="21" t="str">
        <f aca="false">IF(E19="","",D19-E19)</f>
        <v/>
      </c>
      <c r="G19" s="22" t="s">
        <v>43</v>
      </c>
    </row>
    <row r="20" customFormat="false" ht="33.75" hidden="false" customHeight="true" outlineLevel="0" collapsed="false">
      <c r="A20" s="17" t="n">
        <v>10</v>
      </c>
      <c r="B20" s="18" t="s">
        <v>44</v>
      </c>
      <c r="C20" s="17" t="s">
        <v>28</v>
      </c>
      <c r="D20" s="19" t="n">
        <v>16</v>
      </c>
      <c r="E20" s="20"/>
      <c r="F20" s="21" t="str">
        <f aca="false">IF(E20="","",D20-E20)</f>
        <v/>
      </c>
      <c r="G20" s="22" t="s">
        <v>45</v>
      </c>
    </row>
    <row r="21" customFormat="false" ht="33.75" hidden="false" customHeight="true" outlineLevel="0" collapsed="false">
      <c r="A21" s="23"/>
      <c r="B21" s="24" t="s">
        <v>46</v>
      </c>
      <c r="C21" s="23"/>
      <c r="D21" s="23"/>
      <c r="E21" s="23"/>
      <c r="F21" s="25" t="n">
        <f aca="false">COUNTIF(F11:F20,"&gt;0")</f>
        <v>3</v>
      </c>
      <c r="G21" s="16" t="s">
        <v>47</v>
      </c>
    </row>
    <row r="23" customFormat="false" ht="15" hidden="false" customHeight="false" outlineLevel="0" collapsed="false">
      <c r="A23" s="26" t="s">
        <v>48</v>
      </c>
    </row>
    <row r="24" customFormat="false" ht="25.5" hidden="false" customHeight="true" outlineLevel="0" collapsed="false">
      <c r="A24" s="27" t="s">
        <v>49</v>
      </c>
      <c r="B24" s="27"/>
      <c r="C24" s="27"/>
      <c r="D24" s="27"/>
      <c r="E24" s="27"/>
      <c r="F24" s="27"/>
      <c r="G24" s="27"/>
    </row>
    <row r="25" customFormat="false" ht="25.5" hidden="false" customHeight="true" outlineLevel="0" collapsed="false">
      <c r="A25" s="27" t="s">
        <v>50</v>
      </c>
      <c r="B25" s="27"/>
      <c r="C25" s="27"/>
      <c r="D25" s="27"/>
      <c r="E25" s="27"/>
      <c r="F25" s="27"/>
      <c r="G25" s="27"/>
    </row>
    <row r="26" customFormat="false" ht="25.5" hidden="false" customHeight="true" outlineLevel="0" collapsed="false">
      <c r="A26" s="27" t="s">
        <v>51</v>
      </c>
      <c r="B26" s="27"/>
      <c r="C26" s="27"/>
      <c r="D26" s="27"/>
      <c r="E26" s="27"/>
      <c r="F26" s="27"/>
      <c r="G26" s="27"/>
    </row>
    <row r="27" customFormat="false" ht="25.5" hidden="false" customHeight="true" outlineLevel="0" collapsed="false">
      <c r="A27" s="27" t="s">
        <v>52</v>
      </c>
      <c r="B27" s="27"/>
      <c r="C27" s="27"/>
      <c r="D27" s="27"/>
      <c r="E27" s="27"/>
      <c r="F27" s="27"/>
      <c r="G27" s="27"/>
    </row>
    <row r="28" customFormat="false" ht="25.5" hidden="false" customHeight="true" outlineLevel="0" collapsed="false">
      <c r="A28" s="27" t="s">
        <v>53</v>
      </c>
      <c r="B28" s="27"/>
      <c r="C28" s="27"/>
      <c r="D28" s="27"/>
      <c r="E28" s="27"/>
      <c r="F28" s="27"/>
      <c r="G28" s="27"/>
    </row>
    <row r="29" customFormat="false" ht="25.5" hidden="false" customHeight="true" outlineLevel="0" collapsed="false">
      <c r="A29" s="27" t="s">
        <v>54</v>
      </c>
      <c r="B29" s="27"/>
      <c r="C29" s="27"/>
      <c r="D29" s="27"/>
      <c r="E29" s="27"/>
      <c r="F29" s="27"/>
      <c r="G29" s="27"/>
    </row>
  </sheetData>
  <mergeCells count="6">
    <mergeCell ref="A24:G24"/>
    <mergeCell ref="A25:G25"/>
    <mergeCell ref="A26:G26"/>
    <mergeCell ref="A27:G27"/>
    <mergeCell ref="A28:G28"/>
    <mergeCell ref="A29:G2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2026-07-31T01:27:51Z</dcterms:created>
  <dc:creator>openpyxl</dc:creator>
  <dc:description/>
  <dc:language>en-US</dc:language>
  <cp:lastModifiedBy/>
  <dcterms:modified xsi:type="dcterms:W3CDTF">2026-07-31T01:27:51Z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