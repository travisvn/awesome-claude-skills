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terial Requirement" sheetId="1" state="visible" r:id="rId3"/>
  </sheets>
  <definedNames>
    <definedName function="false" hidden="false" localSheetId="0" name="_xlnm.Print_Titles" vbProcedure="false">'Material Requirement'!$11:$11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<sst xmlns="http://schemas.openxmlformats.org/spreadsheetml/2006/main" count="87" uniqueCount="81">
  <si>
    <t xml:space="preserve">MATERIAL REQUIREMENT — AGL INSTALLATION</t>
  </si>
  <si>
    <t xml:space="preserve">Rectification of TWY E between E4 &amp; E6 (ZIA) — AGL works at three milling locations</t>
  </si>
  <si>
    <t xml:space="preserve">Document No.</t>
  </si>
  <si>
    <t xml:space="preserve">AUH-SK-AGL-TWYE-001 — Rev P08 (final scope of work)</t>
  </si>
  <si>
    <t xml:space="preserve">Scope basis</t>
  </si>
  <si>
    <t xml:space="preserve">Rev P08 final scope of work issued 30.07.2026 — 19 No. affected fittings; 13 No. new side-entry shallow bases; approx. 420 m of saw cut</t>
  </si>
  <si>
    <t xml:space="preserve">Sourcing</t>
  </si>
  <si>
    <t xml:space="preserve">Two lines fall short of ADB SAFEGATE stock. The project team confirms no ready stock; both are held in ADA inventory and are to be drawn from there.</t>
  </si>
  <si>
    <t xml:space="preserve">Prepared by</t>
  </si>
  <si>
    <t xml:space="preserve">Mohammed Faheem — AGL Team Leader, ADB SAFEGATE</t>
  </si>
  <si>
    <t xml:space="preserve">Approved by</t>
  </si>
  <si>
    <t xml:space="preserve">Ragesh Menon — AGL Manager, ADB SAFEGATE</t>
  </si>
  <si>
    <t xml:space="preserve">Date</t>
  </si>
  <si>
    <t xml:space="preserve">31.07.2026</t>
  </si>
  <si>
    <t xml:space="preserve">Sl No</t>
  </si>
  <si>
    <t xml:space="preserve">Material</t>
  </si>
  <si>
    <t xml:space="preserve">ADA item code</t>
  </si>
  <si>
    <t xml:space="preserve">Unit</t>
  </si>
  <si>
    <t xml:space="preserve">Required Qty</t>
  </si>
  <si>
    <t xml:space="preserve">Available with ADB SAFEGATE</t>
  </si>
  <si>
    <t xml:space="preserve">Qty requested from ADA inventory</t>
  </si>
  <si>
    <t xml:space="preserve">ADA inventory — current stock</t>
  </si>
  <si>
    <t xml:space="preserve">ADA inventory — balance after withdrawal</t>
  </si>
  <si>
    <t xml:space="preserve">Basis / check against the Rev P08 plan</t>
  </si>
  <si>
    <t xml:space="preserve">Nitoseal</t>
  </si>
  <si>
    <t xml:space="preserve">ltr</t>
  </si>
  <si>
    <t xml:space="preserve">Saw cut sealant. Against approx. 420 m of cut this is approx. 0.05 l/m — cannot be firmed until the saw cut detail fixes cut width and depth (hold point H5).</t>
  </si>
  <si>
    <t xml:space="preserve">Nito mortar</t>
  </si>
  <si>
    <t xml:space="preserve">Grout / bedding to the new bases — 13 No. at approx. 1.15 l each. Depends on the core diameter, which is pending the same detail.</t>
  </si>
  <si>
    <t xml:space="preserve">Backer rod</t>
  </si>
  <si>
    <t xml:space="preserve">Roll</t>
  </si>
  <si>
    <t xml:space="preserve">Approx. 400 m at 50 m/roll against approx. 420 m of saw cut — confirm the roll length; a 9th roll may be needed.</t>
  </si>
  <si>
    <t xml:space="preserve">Shallow base 8 inch</t>
  </si>
  <si>
    <t xml:space="preserve">10016966</t>
  </si>
  <si>
    <t xml:space="preserve">No</t>
  </si>
  <si>
    <t xml:space="preserve">11 No. 8" side-entry shallow bases at LOC-01. 7 No. short of ADB SAFEGATE stock and drawn from ADA inventory, which holds 10 No. — 3 No. remain after withdrawal.</t>
  </si>
  <si>
    <t xml:space="preserve">Earth cable</t>
  </si>
  <si>
    <t xml:space="preserve">Mtr</t>
  </si>
  <si>
    <t xml:space="preserve">As advised. No earthing quantity is derived in the Rev P08 deck.</t>
  </si>
  <si>
    <t xml:space="preserve">Secondary connectors (plug &amp; receptacle)</t>
  </si>
  <si>
    <t xml:space="preserve">Pair</t>
  </si>
  <si>
    <t xml:space="preserve">2 pair per fitting x 19 No. = 38 No.</t>
  </si>
  <si>
    <t xml:space="preserve">Secondary cable (2c x 4 sq.mm)</t>
  </si>
  <si>
    <t xml:space="preserve">10020584</t>
  </si>
  <si>
    <t xml:space="preserve">mtr</t>
  </si>
  <si>
    <t xml:space="preserve">1 No. 2-core 4 sq.mm cable to each fitting, SBC and TCC alike — 7 No. SBC and 12 No. TCC = 19 No. runs. 350 m short of ADB SAFEGATE stock and drawn from ADA inventory, which holds 1 RoL @ 2000 m — 1650 m remain on the roll after withdrawal.</t>
  </si>
  <si>
    <t xml:space="preserve">Masking tape</t>
  </si>
  <si>
    <t xml:space="preserve">Box</t>
  </si>
  <si>
    <t xml:space="preserve">As advised, for general protection. The signboard masking is by matt black vinyl sticker — see note 7; there is no material line for it in this table.</t>
  </si>
  <si>
    <t xml:space="preserve">Shallow base 12 inch</t>
  </si>
  <si>
    <t xml:space="preserve">The plan needs 13 No. new bases: 11 No. 8" plus 2 No. 12" (LOC-02 TCCECH-03/008 and LOC-03 TCCECH-03/003).</t>
  </si>
  <si>
    <t xml:space="preserve">Dummy plate (8" / 12")</t>
  </si>
  <si>
    <t xml:space="preserve">13 No. open bases plus the 3 No. LOC-01 fittings kept under a plate during milling (Phase 1, R3).</t>
  </si>
  <si>
    <t xml:space="preserve">Lines drawn from ADA inventory</t>
  </si>
  <si>
    <t xml:space="preserve">Every other line is covered by ADB SAFEGATE stock.</t>
  </si>
  <si>
    <t xml:space="preserve">ADA INVENTORY — ITEMS TO BE WITHDRAWN</t>
  </si>
  <si>
    <t xml:space="preserve">Ref</t>
  </si>
  <si>
    <t xml:space="preserve">Item code</t>
  </si>
  <si>
    <t xml:space="preserve">Description as held in ADA inventory</t>
  </si>
  <si>
    <t xml:space="preserve">Stock</t>
  </si>
  <si>
    <t xml:space="preserve">Withdrawal</t>
  </si>
  <si>
    <t xml:space="preserve">D02</t>
  </si>
  <si>
    <t xml:space="preserve">BASE, MOUNTING; TYP: HIGH PRESSURE INJECTION SHALLOW, DIA 8IN; MFR: ADB SAFEGATE; P/N MSBC122V0003; M10; HS 85309000; with earthing connection, fixing screw set, one side cable entry (pole qty 2)</t>
  </si>
  <si>
    <t xml:space="preserve">Nos.</t>
  </si>
  <si>
    <t xml:space="preserve">7 No.</t>
  </si>
  <si>
    <t xml:space="preserve">D03</t>
  </si>
  <si>
    <t xml:space="preserve">CABLE, ELECTRICAL; CNDCTR DIA 4MM2; CNDCTR QTY 2C; MFR: EUPEN; 1 RoL / 2000 m</t>
  </si>
  <si>
    <t xml:space="preserve">RoL</t>
  </si>
  <si>
    <t xml:space="preserve">350 m off the roll</t>
  </si>
  <si>
    <t xml:space="preserve">NOTES</t>
  </si>
  <si>
    <t xml:space="preserve">1.  Two lines fall short of ADB SAFEGATE stock — 7 No. shallow base 8 inch and 350 m of secondary cable. The project team confirms no ready stock; both are held in ADA inventory and are to be drawn from there under items 10016966 and 10020584.</t>
  </si>
  <si>
    <t xml:space="preserve">2.  ADA inventory balance after withdrawal: 3 No. shallow base 8 inch, and 1650 m remaining on the 2000 m cable roll. The roll is issued whole, so the balance stays on it.</t>
  </si>
  <si>
    <t xml:space="preserve">3.  Confirm that ADA item 10016966 is the side-entry type the plan calls for. The stores description reads 'one side cable entry', which is consistent, but the part number should be checked against the base required before withdrawal.</t>
  </si>
  <si>
    <t xml:space="preserve">4.  Confirm the rating of ADA item 10020584 against the ADA specification for the series secondary circuit. The stores description reads 2750.1 kV, which appears to be a data-entry artefact rather than the cable rating.</t>
  </si>
  <si>
    <t xml:space="preserve">5.  The plan needs 13 No. new side-entry shallow bases in total — 11 No. 8" at LOC-01, 1 No. 12" at LOC-02 (TCCECH-03/008) and 1 No. 12" at LOC-03 (TCCECH-03/003).</t>
  </si>
  <si>
    <t xml:space="preserve">6.  Sealant, mortar and backer rod quantities depend on the saw cut width and depth and on the core diameter. Both are set by the saw cut &amp; side-entry shallow base detail drawing, which had not been issued at Rev P08 (hold point H5). Re-check these three lines when it is issued.</t>
  </si>
  <si>
    <t xml:space="preserve">7.  The direction signboards leading to E4 and E6 are masked with matt black vinyl sticker under Phase 1 (R4) and unmasked in Phase 3 before the functionality check. There is no material line for the vinyl in this table — add one once the sign faces are measured.</t>
  </si>
  <si>
    <t xml:space="preserve">8.  One 2-core 4 sq.mm secondary cable serves each fitting, SBC and TCC alike — 7 No. SBC and 12 No. TCC. Cable is ordered against the full manhole-to-light runs (19 No.), not the saw cut length — the cut measures approx. 420 m across the three locations (approx. 300 m LOC-01, 24 m LOC-02, 95 m LOC-03).</t>
  </si>
  <si>
    <t xml:space="preserve">9.  Saw cut is an interim arrangement agreed between the AGL team, the civil team and ADA AGL. Permanent duct provision follows under the South Rehabilitation works, and is not covered by this requirement.</t>
  </si>
  <si>
    <t xml:space="preserve">10.  Testing and commissioning is carried out at circuit level and covers the affected fittings together with the fittings on the same circuits that fall outside these works — the series circuits are proved end to end before handover.</t>
  </si>
  <si>
    <t xml:space="preserve">11.  Qty requested from ADA inventory and the balance after withdrawal are formulas. Edit only Required Qty, Available with ADB SAFEGATE, and ADA inventory current stock.</t>
  </si>
</sst>
</file>

<file path=xl/styles.xml><?xml version="1.0" encoding="utf-8"?>
<styleSheet xmlns="http://schemas.openxmlformats.org/spreadsheetml/2006/main">
  <numFmts count="3">
    <numFmt numFmtId="164" formatCode="General"/>
    <numFmt numFmtId="165" formatCode="#,##0"/>
    <numFmt numFmtId="166"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E2761"/>
      <name val="Arial"/>
      <family val="0"/>
      <charset val="1"/>
    </font>
    <font>
      <sz val="10"/>
      <color rgb="FF5F6368"/>
      <name val="Arial"/>
      <family val="0"/>
      <charset val="1"/>
    </font>
    <font>
      <b val="true"/>
      <sz val="10"/>
      <color rgb="FFAD841F"/>
      <name val="Arial"/>
      <family val="0"/>
      <charset val="1"/>
    </font>
    <font>
      <sz val="10"/>
      <color rgb="FF1F2937"/>
      <name val="Arial"/>
      <family val="0"/>
      <charset val="1"/>
    </font>
    <font>
      <b val="true"/>
      <sz val="10"/>
      <color rgb="FFFFFFFF"/>
      <name val="Arial"/>
      <family val="0"/>
      <charset val="1"/>
    </font>
    <font>
      <b val="true"/>
      <sz val="10"/>
      <color rgb="FF1F2937"/>
      <name val="Arial"/>
      <family val="0"/>
      <charset val="1"/>
    </font>
    <font>
      <sz val="9"/>
      <color rgb="FF5F6368"/>
      <name val="Arial"/>
      <family val="0"/>
      <charset val="1"/>
    </font>
    <font>
      <b val="true"/>
      <sz val="11"/>
      <color rgb="FF1E2761"/>
      <name val="Arial"/>
      <family val="0"/>
      <charset val="1"/>
    </font>
    <font>
      <sz val="9"/>
      <color rgb="FF1F2937"/>
      <name val="Arial"/>
      <family val="0"/>
      <charset val="1"/>
    </font>
  </fonts>
  <fills count="5">
    <fill>
      <patternFill patternType="none"/>
    </fill>
    <fill>
      <patternFill patternType="gray125"/>
    </fill>
    <fill>
      <patternFill patternType="solid">
        <fgColor rgb="FF1E2761"/>
        <bgColor rgb="FF1F2937"/>
      </patternFill>
    </fill>
    <fill>
      <patternFill patternType="solid">
        <fgColor rgb="FFF4F6F8"/>
        <bgColor rgb="FFE8F1F5"/>
      </patternFill>
    </fill>
    <fill>
      <patternFill patternType="solid">
        <fgColor rgb="FFE8F1F5"/>
        <bgColor rgb="FFF4F6F8"/>
      </patternFill>
    </fill>
  </fills>
  <borders count="2">
    <border diagonalUp="false" diagonalDown="false">
      <left/>
      <right/>
      <top/>
      <bottom/>
      <diagonal/>
    </border>
    <border diagonalUp="false" diagonalDown="false">
      <left style="thin">
        <color rgb="FFC8CDD3"/>
      </left>
      <right style="thin">
        <color rgb="FFC8CDD3"/>
      </right>
      <top style="thin">
        <color rgb="FFC8CDD3"/>
      </top>
      <bottom style="thin">
        <color rgb="FFC8CDD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tru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5" fontId="9" fillId="3"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center" textRotation="0" wrapText="tru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left" vertical="center" textRotation="0" wrapText="tru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4" fontId="9" fillId="3" borderId="1" xfId="0" applyFont="true" applyBorder="true" applyAlignment="true" applyProtection="false">
      <alignment horizontal="left" vertical="center" textRotation="0" wrapText="false" indent="0" shrinkToFit="false"/>
      <protection locked="true" hidden="false"/>
    </xf>
    <xf numFmtId="166" fontId="9" fillId="3"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2" fillId="4"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AD841F"/>
      <rgbColor rgb="FF800080"/>
      <rgbColor rgb="FF008080"/>
      <rgbColor rgb="FFC8CDD3"/>
      <rgbColor rgb="FF808080"/>
      <rgbColor rgb="FF9999FF"/>
      <rgbColor rgb="FF993366"/>
      <rgbColor rgb="FFF4F6F8"/>
      <rgbColor rgb="FFE8F1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F6368"/>
      <rgbColor rgb="FF969696"/>
      <rgbColor rgb="FF1E2761"/>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2"/>
    <col collapsed="false" customWidth="true" hidden="false" outlineLevel="0" max="4" min="4" style="0" width="7"/>
    <col collapsed="false" customWidth="true" hidden="false" outlineLevel="0" max="5" min="5" style="0" width="11"/>
    <col collapsed="false" customWidth="true" hidden="false" outlineLevel="0" max="8" min="6" style="0" width="15"/>
    <col collapsed="false" customWidth="true" hidden="false" outlineLevel="0" max="9" min="9" style="0" width="17"/>
    <col collapsed="false" customWidth="true" hidden="false" outlineLevel="0" max="10" min="10" style="0" width="5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1" customFormat="false" ht="54" hidden="false" customHeight="true" outlineLevel="0" collapsed="false">
      <c r="A11" s="5" t="s">
        <v>14</v>
      </c>
      <c r="B11" s="5" t="s">
        <v>15</v>
      </c>
      <c r="C11" s="5" t="s">
        <v>16</v>
      </c>
      <c r="D11" s="5" t="s">
        <v>17</v>
      </c>
      <c r="E11" s="5" t="s">
        <v>18</v>
      </c>
      <c r="F11" s="5" t="s">
        <v>19</v>
      </c>
      <c r="G11" s="5" t="s">
        <v>20</v>
      </c>
      <c r="H11" s="5" t="s">
        <v>21</v>
      </c>
      <c r="I11" s="5" t="s">
        <v>22</v>
      </c>
      <c r="J11" s="6" t="s">
        <v>23</v>
      </c>
    </row>
    <row r="12" customFormat="false" ht="39.75" hidden="false" customHeight="true" outlineLevel="0" collapsed="false">
      <c r="A12" s="7" t="n">
        <v>1</v>
      </c>
      <c r="B12" s="8" t="s">
        <v>24</v>
      </c>
      <c r="C12" s="7"/>
      <c r="D12" s="7" t="s">
        <v>25</v>
      </c>
      <c r="E12" s="9" t="n">
        <v>20</v>
      </c>
      <c r="F12" s="9" t="n">
        <v>20</v>
      </c>
      <c r="G12" s="10" t="n">
        <f aca="false">MAX(0,E12-F12)</f>
        <v>0</v>
      </c>
      <c r="H12" s="9"/>
      <c r="I12" s="10" t="str">
        <f aca="false">IF(H12="","",H12-G12)</f>
        <v/>
      </c>
      <c r="J12" s="11" t="s">
        <v>26</v>
      </c>
    </row>
    <row r="13" customFormat="false" ht="39.75" hidden="false" customHeight="true" outlineLevel="0" collapsed="false">
      <c r="A13" s="12" t="n">
        <v>2</v>
      </c>
      <c r="B13" s="13" t="s">
        <v>27</v>
      </c>
      <c r="C13" s="12"/>
      <c r="D13" s="12" t="s">
        <v>25</v>
      </c>
      <c r="E13" s="14" t="n">
        <v>15</v>
      </c>
      <c r="F13" s="14" t="n">
        <v>15</v>
      </c>
      <c r="G13" s="15" t="n">
        <f aca="false">MAX(0,E13-F13)</f>
        <v>0</v>
      </c>
      <c r="H13" s="14"/>
      <c r="I13" s="15" t="str">
        <f aca="false">IF(H13="","",H13-G13)</f>
        <v/>
      </c>
      <c r="J13" s="16" t="s">
        <v>28</v>
      </c>
    </row>
    <row r="14" customFormat="false" ht="39.75" hidden="false" customHeight="true" outlineLevel="0" collapsed="false">
      <c r="A14" s="7" t="n">
        <v>3</v>
      </c>
      <c r="B14" s="8" t="s">
        <v>29</v>
      </c>
      <c r="C14" s="7"/>
      <c r="D14" s="7" t="s">
        <v>30</v>
      </c>
      <c r="E14" s="9" t="n">
        <v>8</v>
      </c>
      <c r="F14" s="9" t="n">
        <v>8</v>
      </c>
      <c r="G14" s="10" t="n">
        <f aca="false">MAX(0,E14-F14)</f>
        <v>0</v>
      </c>
      <c r="H14" s="9"/>
      <c r="I14" s="10" t="str">
        <f aca="false">IF(H14="","",H14-G14)</f>
        <v/>
      </c>
      <c r="J14" s="11" t="s">
        <v>31</v>
      </c>
    </row>
    <row r="15" customFormat="false" ht="39.75" hidden="false" customHeight="true" outlineLevel="0" collapsed="false">
      <c r="A15" s="17" t="n">
        <v>4</v>
      </c>
      <c r="B15" s="18" t="s">
        <v>32</v>
      </c>
      <c r="C15" s="17" t="s">
        <v>33</v>
      </c>
      <c r="D15" s="17" t="s">
        <v>34</v>
      </c>
      <c r="E15" s="19" t="n">
        <v>11</v>
      </c>
      <c r="F15" s="19" t="n">
        <v>4</v>
      </c>
      <c r="G15" s="20" t="n">
        <f aca="false">MAX(0,E15-F15)</f>
        <v>7</v>
      </c>
      <c r="H15" s="19" t="n">
        <v>10</v>
      </c>
      <c r="I15" s="20" t="n">
        <f aca="false">IF(H15="","",H15-G15)</f>
        <v>3</v>
      </c>
      <c r="J15" s="21" t="s">
        <v>35</v>
      </c>
    </row>
    <row r="16" customFormat="false" ht="39.75" hidden="false" customHeight="true" outlineLevel="0" collapsed="false">
      <c r="A16" s="7" t="n">
        <v>5</v>
      </c>
      <c r="B16" s="8" t="s">
        <v>36</v>
      </c>
      <c r="C16" s="7"/>
      <c r="D16" s="7" t="s">
        <v>37</v>
      </c>
      <c r="E16" s="9" t="n">
        <v>900</v>
      </c>
      <c r="F16" s="9" t="n">
        <v>900</v>
      </c>
      <c r="G16" s="10" t="n">
        <f aca="false">MAX(0,E16-F16)</f>
        <v>0</v>
      </c>
      <c r="H16" s="9"/>
      <c r="I16" s="10" t="str">
        <f aca="false">IF(H16="","",H16-G16)</f>
        <v/>
      </c>
      <c r="J16" s="11" t="s">
        <v>38</v>
      </c>
    </row>
    <row r="17" customFormat="false" ht="39.75" hidden="false" customHeight="true" outlineLevel="0" collapsed="false">
      <c r="A17" s="12" t="n">
        <v>6</v>
      </c>
      <c r="B17" s="13" t="s">
        <v>39</v>
      </c>
      <c r="C17" s="12"/>
      <c r="D17" s="12" t="s">
        <v>40</v>
      </c>
      <c r="E17" s="14" t="n">
        <v>38</v>
      </c>
      <c r="F17" s="14" t="n">
        <v>38</v>
      </c>
      <c r="G17" s="15" t="n">
        <f aca="false">MAX(0,E17-F17)</f>
        <v>0</v>
      </c>
      <c r="H17" s="14"/>
      <c r="I17" s="15" t="str">
        <f aca="false">IF(H17="","",H17-G17)</f>
        <v/>
      </c>
      <c r="J17" s="16" t="s">
        <v>41</v>
      </c>
    </row>
    <row r="18" customFormat="false" ht="39.75" hidden="false" customHeight="true" outlineLevel="0" collapsed="false">
      <c r="A18" s="17" t="n">
        <v>7</v>
      </c>
      <c r="B18" s="18" t="s">
        <v>42</v>
      </c>
      <c r="C18" s="17" t="s">
        <v>43</v>
      </c>
      <c r="D18" s="17" t="s">
        <v>44</v>
      </c>
      <c r="E18" s="19" t="n">
        <v>950</v>
      </c>
      <c r="F18" s="19" t="n">
        <v>600</v>
      </c>
      <c r="G18" s="20" t="n">
        <f aca="false">MAX(0,E18-F18)</f>
        <v>350</v>
      </c>
      <c r="H18" s="19" t="n">
        <v>2000</v>
      </c>
      <c r="I18" s="20" t="n">
        <f aca="false">IF(H18="","",H18-G18)</f>
        <v>1650</v>
      </c>
      <c r="J18" s="21" t="s">
        <v>45</v>
      </c>
    </row>
    <row r="19" customFormat="false" ht="39.75" hidden="false" customHeight="true" outlineLevel="0" collapsed="false">
      <c r="A19" s="12" t="n">
        <v>8</v>
      </c>
      <c r="B19" s="13" t="s">
        <v>46</v>
      </c>
      <c r="C19" s="12"/>
      <c r="D19" s="12" t="s">
        <v>47</v>
      </c>
      <c r="E19" s="14" t="n">
        <v>50</v>
      </c>
      <c r="F19" s="14" t="n">
        <v>50</v>
      </c>
      <c r="G19" s="15" t="n">
        <f aca="false">MAX(0,E19-F19)</f>
        <v>0</v>
      </c>
      <c r="H19" s="14"/>
      <c r="I19" s="15" t="str">
        <f aca="false">IF(H19="","",H19-G19)</f>
        <v/>
      </c>
      <c r="J19" s="16" t="s">
        <v>48</v>
      </c>
    </row>
    <row r="20" customFormat="false" ht="39.75" hidden="false" customHeight="true" outlineLevel="0" collapsed="false">
      <c r="A20" s="7" t="n">
        <v>9</v>
      </c>
      <c r="B20" s="8" t="s">
        <v>49</v>
      </c>
      <c r="C20" s="7"/>
      <c r="D20" s="7" t="s">
        <v>34</v>
      </c>
      <c r="E20" s="9" t="n">
        <v>2</v>
      </c>
      <c r="F20" s="9" t="n">
        <v>2</v>
      </c>
      <c r="G20" s="10" t="n">
        <f aca="false">MAX(0,E20-F20)</f>
        <v>0</v>
      </c>
      <c r="H20" s="9"/>
      <c r="I20" s="10" t="str">
        <f aca="false">IF(H20="","",H20-G20)</f>
        <v/>
      </c>
      <c r="J20" s="11" t="s">
        <v>50</v>
      </c>
    </row>
    <row r="21" customFormat="false" ht="39.75" hidden="false" customHeight="true" outlineLevel="0" collapsed="false">
      <c r="A21" s="12" t="n">
        <v>10</v>
      </c>
      <c r="B21" s="13" t="s">
        <v>51</v>
      </c>
      <c r="C21" s="12"/>
      <c r="D21" s="12" t="s">
        <v>34</v>
      </c>
      <c r="E21" s="14" t="n">
        <v>16</v>
      </c>
      <c r="F21" s="14" t="n">
        <v>16</v>
      </c>
      <c r="G21" s="15" t="n">
        <f aca="false">MAX(0,E21-F21)</f>
        <v>0</v>
      </c>
      <c r="H21" s="14"/>
      <c r="I21" s="15" t="str">
        <f aca="false">IF(H21="","",H21-G21)</f>
        <v/>
      </c>
      <c r="J21" s="16" t="s">
        <v>52</v>
      </c>
    </row>
    <row r="22" customFormat="false" ht="39.75" hidden="false" customHeight="true" outlineLevel="0" collapsed="false">
      <c r="A22" s="22"/>
      <c r="B22" s="23" t="s">
        <v>53</v>
      </c>
      <c r="C22" s="22"/>
      <c r="D22" s="22"/>
      <c r="E22" s="22"/>
      <c r="F22" s="22"/>
      <c r="G22" s="24" t="n">
        <f aca="false">COUNTIF(G12:G21,"&gt;0")</f>
        <v>2</v>
      </c>
      <c r="H22" s="22"/>
      <c r="I22" s="22"/>
      <c r="J22" s="16" t="s">
        <v>54</v>
      </c>
    </row>
    <row r="24" customFormat="false" ht="15" hidden="false" customHeight="false" outlineLevel="0" collapsed="false">
      <c r="A24" s="25" t="s">
        <v>55</v>
      </c>
    </row>
    <row r="25" customFormat="false" ht="35.05" hidden="false" customHeight="true" outlineLevel="0" collapsed="false">
      <c r="A25" s="5" t="s">
        <v>56</v>
      </c>
      <c r="B25" s="5" t="s">
        <v>57</v>
      </c>
      <c r="C25" s="6" t="s">
        <v>58</v>
      </c>
      <c r="D25" s="5" t="s">
        <v>17</v>
      </c>
      <c r="E25" s="5" t="s">
        <v>59</v>
      </c>
      <c r="F25" s="5" t="s">
        <v>60</v>
      </c>
      <c r="G25" s="5"/>
      <c r="H25" s="5"/>
      <c r="I25" s="5"/>
      <c r="J25" s="5"/>
    </row>
    <row r="26" customFormat="false" ht="45.75" hidden="false" customHeight="true" outlineLevel="0" collapsed="false">
      <c r="A26" s="26" t="s">
        <v>61</v>
      </c>
      <c r="B26" s="27" t="s">
        <v>33</v>
      </c>
      <c r="C26" s="28" t="s">
        <v>62</v>
      </c>
      <c r="D26" s="26" t="s">
        <v>63</v>
      </c>
      <c r="E26" s="26" t="n">
        <v>10</v>
      </c>
      <c r="F26" s="27" t="s">
        <v>64</v>
      </c>
      <c r="G26" s="27"/>
      <c r="H26" s="27"/>
      <c r="I26" s="27"/>
      <c r="J26" s="27"/>
    </row>
    <row r="27" customFormat="false" ht="45.75" hidden="false" customHeight="true" outlineLevel="0" collapsed="false">
      <c r="A27" s="26" t="s">
        <v>65</v>
      </c>
      <c r="B27" s="27" t="s">
        <v>43</v>
      </c>
      <c r="C27" s="28" t="s">
        <v>66</v>
      </c>
      <c r="D27" s="26" t="s">
        <v>67</v>
      </c>
      <c r="E27" s="26" t="n">
        <v>1</v>
      </c>
      <c r="F27" s="27" t="s">
        <v>68</v>
      </c>
      <c r="G27" s="27"/>
      <c r="H27" s="27"/>
      <c r="I27" s="27"/>
      <c r="J27" s="27"/>
    </row>
    <row r="29" customFormat="false" ht="15" hidden="false" customHeight="false" outlineLevel="0" collapsed="false">
      <c r="A29" s="25" t="s">
        <v>69</v>
      </c>
    </row>
    <row r="30" customFormat="false" ht="25.5" hidden="false" customHeight="true" outlineLevel="0" collapsed="false">
      <c r="A30" s="29" t="s">
        <v>70</v>
      </c>
      <c r="B30" s="29"/>
      <c r="C30" s="29"/>
      <c r="D30" s="29"/>
      <c r="E30" s="29"/>
      <c r="F30" s="29"/>
      <c r="G30" s="29"/>
      <c r="H30" s="29"/>
      <c r="I30" s="29"/>
      <c r="J30" s="29"/>
    </row>
    <row r="31" customFormat="false" ht="25.5" hidden="false" customHeight="true" outlineLevel="0" collapsed="false">
      <c r="A31" s="29" t="s">
        <v>71</v>
      </c>
      <c r="B31" s="29"/>
      <c r="C31" s="29"/>
      <c r="D31" s="29"/>
      <c r="E31" s="29"/>
      <c r="F31" s="29"/>
      <c r="G31" s="29"/>
      <c r="H31" s="29"/>
      <c r="I31" s="29"/>
      <c r="J31" s="29"/>
    </row>
    <row r="32" customFormat="false" ht="25.5" hidden="false" customHeight="true" outlineLevel="0" collapsed="false">
      <c r="A32" s="29" t="s">
        <v>72</v>
      </c>
      <c r="B32" s="29"/>
      <c r="C32" s="29"/>
      <c r="D32" s="29"/>
      <c r="E32" s="29"/>
      <c r="F32" s="29"/>
      <c r="G32" s="29"/>
      <c r="H32" s="29"/>
      <c r="I32" s="29"/>
      <c r="J32" s="29"/>
    </row>
    <row r="33" customFormat="false" ht="25.5" hidden="false" customHeight="true" outlineLevel="0" collapsed="false">
      <c r="A33" s="29" t="s">
        <v>73</v>
      </c>
      <c r="B33" s="29"/>
      <c r="C33" s="29"/>
      <c r="D33" s="29"/>
      <c r="E33" s="29"/>
      <c r="F33" s="29"/>
      <c r="G33" s="29"/>
      <c r="H33" s="29"/>
      <c r="I33" s="29"/>
      <c r="J33" s="29"/>
    </row>
    <row r="34" customFormat="false" ht="25.5" hidden="false" customHeight="true" outlineLevel="0" collapsed="false">
      <c r="A34" s="29" t="s">
        <v>74</v>
      </c>
      <c r="B34" s="29"/>
      <c r="C34" s="29"/>
      <c r="D34" s="29"/>
      <c r="E34" s="29"/>
      <c r="F34" s="29"/>
      <c r="G34" s="29"/>
      <c r="H34" s="29"/>
      <c r="I34" s="29"/>
      <c r="J34" s="29"/>
    </row>
    <row r="35" customFormat="false" ht="25.5" hidden="false" customHeight="true" outlineLevel="0" collapsed="false">
      <c r="A35" s="29" t="s">
        <v>75</v>
      </c>
      <c r="B35" s="29"/>
      <c r="C35" s="29"/>
      <c r="D35" s="29"/>
      <c r="E35" s="29"/>
      <c r="F35" s="29"/>
      <c r="G35" s="29"/>
      <c r="H35" s="29"/>
      <c r="I35" s="29"/>
      <c r="J35" s="29"/>
    </row>
    <row r="36" customFormat="false" ht="25.5" hidden="false" customHeight="true" outlineLevel="0" collapsed="false">
      <c r="A36" s="29" t="s">
        <v>76</v>
      </c>
      <c r="B36" s="29"/>
      <c r="C36" s="29"/>
      <c r="D36" s="29"/>
      <c r="E36" s="29"/>
      <c r="F36" s="29"/>
      <c r="G36" s="29"/>
      <c r="H36" s="29"/>
      <c r="I36" s="29"/>
      <c r="J36" s="29"/>
    </row>
    <row r="37" customFormat="false" ht="25.5" hidden="false" customHeight="true" outlineLevel="0" collapsed="false">
      <c r="A37" s="29" t="s">
        <v>77</v>
      </c>
      <c r="B37" s="29"/>
      <c r="C37" s="29"/>
      <c r="D37" s="29"/>
      <c r="E37" s="29"/>
      <c r="F37" s="29"/>
      <c r="G37" s="29"/>
      <c r="H37" s="29"/>
      <c r="I37" s="29"/>
      <c r="J37" s="29"/>
    </row>
    <row r="38" customFormat="false" ht="25.5" hidden="false" customHeight="true" outlineLevel="0" collapsed="false">
      <c r="A38" s="29" t="s">
        <v>78</v>
      </c>
      <c r="B38" s="29"/>
      <c r="C38" s="29"/>
      <c r="D38" s="29"/>
      <c r="E38" s="29"/>
      <c r="F38" s="29"/>
      <c r="G38" s="29"/>
      <c r="H38" s="29"/>
      <c r="I38" s="29"/>
      <c r="J38" s="29"/>
    </row>
    <row r="39" customFormat="false" ht="25.5" hidden="false" customHeight="true" outlineLevel="0" collapsed="false">
      <c r="A39" s="29" t="s">
        <v>79</v>
      </c>
      <c r="B39" s="29"/>
      <c r="C39" s="29"/>
      <c r="D39" s="29"/>
      <c r="E39" s="29"/>
      <c r="F39" s="29"/>
      <c r="G39" s="29"/>
      <c r="H39" s="29"/>
      <c r="I39" s="29"/>
      <c r="J39" s="29"/>
    </row>
    <row r="40" customFormat="false" ht="25.5" hidden="false" customHeight="true" outlineLevel="0" collapsed="false">
      <c r="A40" s="29" t="s">
        <v>80</v>
      </c>
      <c r="B40" s="29"/>
      <c r="C40" s="29"/>
      <c r="D40" s="29"/>
      <c r="E40" s="29"/>
      <c r="F40" s="29"/>
      <c r="G40" s="29"/>
      <c r="H40" s="29"/>
      <c r="I40" s="29"/>
      <c r="J40" s="29"/>
    </row>
  </sheetData>
  <mergeCells count="14">
    <mergeCell ref="F25:J25"/>
    <mergeCell ref="F26:J26"/>
    <mergeCell ref="F27:J27"/>
    <mergeCell ref="A30:J30"/>
    <mergeCell ref="A31:J31"/>
    <mergeCell ref="A32:J32"/>
    <mergeCell ref="A33:J33"/>
    <mergeCell ref="A34:J34"/>
    <mergeCell ref="A35:J35"/>
    <mergeCell ref="A36:J36"/>
    <mergeCell ref="A37:J37"/>
    <mergeCell ref="A38:J38"/>
    <mergeCell ref="A39:J39"/>
    <mergeCell ref="A40:J4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2026-07-31T02:05:46Z</dcterms:created>
  <dc:creator>openpyxl</dc:creator>
  <dc:description/>
  <dc:language>en-US</dc:language>
  <cp:lastModifiedBy/>
  <dcterms:modified xsi:type="dcterms:W3CDTF">2026-07-31T02:05:46Z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